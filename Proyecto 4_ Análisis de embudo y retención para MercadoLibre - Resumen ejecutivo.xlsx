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<sst xmlns="http://schemas.openxmlformats.org/spreadsheetml/2006/main" count="63" uniqueCount="42">
  <si>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</si>
  <si>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</si>
  <si>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</si>
  <si>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</si>
  <si>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Paso en el que el Funnel pierde mayor porcentaje 
de usuarios y Como es su comportamiento esa 
misma perdida cuando se agrupa por country</t>
  </si>
  <si>
    <t>El proceso donde más perdidas de usuarios
se registra en el funnel es al pasar al proceso
de agregar un producto al carrito, se encontro
un abandono del 85% en el embudo general y 
para el caso del embudo x pais, se encontro un 
promedio de abandono del 85%</t>
  </si>
  <si>
    <t>Esto puede implicar que los usuarios no se
sienten atraidos por los productos, no es visible el icono 
de add to cart, es poca atractiva la forma 
de pasar al siguiente proceso del funnel o simplemente
la descripcion del producto
no es del todo certera con lo que busca el usuario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</si>
  <si>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</si>
  <si>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Perdida de usuarios por semana, asi como perdida
 de usuarios por semana clasificados por pais</t>
  </si>
  <si>
    <t>Del día 21 al 28  es donde mayor perdida de 
usuarios encontramos, con un porcentaje del 89%</t>
  </si>
  <si>
    <t>A partir del día 14, es necesario observar con que estrategia
 reducir el porcentaje de perdida que hasta ese momento es
 de 56% y evitar llegar con este porcentaje al día 21 y que
 posteriormente se convierta en 89% al día 28, se necesitaria
 reducir el porcentaje de perdida de usuarios entre el dia 14 y 21</t>
  </si>
  <si>
    <t>Reflexión personal</t>
  </si>
  <si>
    <t xml:space="preserve">- ¿Qué etapa mejorarías primero?
</t>
  </si>
  <si>
    <t>La etapa que más atencion necesita es 
agregar al carrito algun tipo de producto</t>
  </si>
  <si>
    <t>- ¿Qué aprendiste sobre el comportamiento del usuario?</t>
  </si>
  <si>
    <t>Que un resultado general en este caso el Purchase, 
no significaria que el proceso con mayor problema 
es el de comprar un producto cuando se estan perdiendo 
casi el 85% antes de iniciar este proceso de pago.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</si>
  <si>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</si>
  <si>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</si>
  <si>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</si>
  <si>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</si>
  <si>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</si>
  <si>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</si>
  <si>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</si>
  <si>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</si>
  <si>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</si>
  <si>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</si>
  <si>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</si>
  <si>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</si>
  <si>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</si>
  <si>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</si>
  <si>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</si>
  <si>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</si>
  <si>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</si>
  <si>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 xml:space="preserve">Porcentaje </t>
  </si>
  <si>
    <t>retention_d7_pct</t>
  </si>
  <si>
    <t>retention_d14_pct</t>
  </si>
  <si>
    <t>retention_d21_pct</t>
  </si>
  <si>
    <t>retention_d28_pct</t>
  </si>
  <si>
    <t>Promedio 7 a 14</t>
  </si>
  <si>
    <t>promedio de 14 a 21</t>
  </si>
  <si>
    <t>promedio de 21 a 28</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</si>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</sst>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left" readingOrder="0"/>
    </xf>
    <xf borderId="0" fillId="0" fontId="3" numFmtId="0" xfId="0" applyAlignment="1" applyFont="1">
      <alignment readingOrder="0" shrinkToFit="0" wrapText="1"/>
    </xf>
    <xf borderId="0" fillId="0" fontId="3" numFmtId="0" xfId="0" applyAlignment="1" applyFont="1">
      <alignment readingOrder="0"/>
    </xf>
    <xf borderId="0" fillId="0" fontId="1" numFmtId="2" xfId="0" applyAlignment="1" applyFont="1" applyNumberFormat="1">
      <alignment readingOrder="0"/>
    </xf>
    <xf borderId="0" fillId="2" fontId="1" numFmtId="0" xfId="0" applyAlignment="1" applyFill="1" applyFont="1">
      <alignment horizontal="center" readingOrder="0"/>
    </xf>
    <xf borderId="0" fillId="0" fontId="1" numFmtId="9" xfId="0" applyFont="1" applyNumberFormat="1"/>
    <xf borderId="0" fillId="0" fontId="1" numFmtId="0" xfId="0" applyFont="1"/>
    <xf borderId="0" fillId="0" fontId="1" numFmtId="10" xfId="0" applyFont="1" applyNumberFormat="1"/>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43.5"/>
    <col customWidth="1" min="4" max="4" width="36.88"/>
    <col customWidth="1" min="5" max="5" width="49.0"/>
  </cols>
  <sheetData>
    <row r="1">
      <c r="B1" s="1"/>
    </row>
    <row r="2">
      <c r="B2" s="1"/>
      <c r="C2" s="2" t="s">
        <v>0</v>
      </c>
      <c r="D2" s="2" t="s">
        <v>1</v>
      </c>
      <c r="E2" s="2" t="s">
        <v>2</v>
      </c>
    </row>
    <row r="3">
      <c r="B3" s="3" t="s">
        <v>3</v>
      </c>
      <c r="C3" s="4" t="s">
        <v>4</v>
      </c>
      <c r="D3" s="5" t="s">
        <v>5</v>
      </c>
      <c r="E3" s="4" t="s">
        <v>6</v>
      </c>
    </row>
    <row r="4">
      <c r="B4" s="3" t="s">
        <v>7</v>
      </c>
      <c r="C4" s="4" t="s">
        <v>8</v>
      </c>
      <c r="D4" s="4" t="s">
        <v>9</v>
      </c>
      <c r="E4" s="4" t="s">
        <v>10</v>
      </c>
    </row>
    <row r="5">
      <c r="B5" s="3"/>
    </row>
    <row r="6">
      <c r="B6" s="1"/>
    </row>
    <row r="7">
      <c r="B7" s="3"/>
    </row>
    <row r="8">
      <c r="B8" s="6" t="s">
        <v>11</v>
      </c>
    </row>
    <row r="9">
      <c r="B9" s="3" t="s">
        <v>12</v>
      </c>
      <c r="C9" s="4" t="s">
        <v>13</v>
      </c>
    </row>
    <row r="10" ht="68.25" customHeight="1">
      <c r="B10" s="3" t="s">
        <v>14</v>
      </c>
      <c r="C10" s="4"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16</v>
      </c>
      <c r="B1" s="7" t="s">
        <v>17</v>
      </c>
      <c r="C1" s="7" t="s">
        <v>18</v>
      </c>
      <c r="D1" s="7" t="s">
        <v>19</v>
      </c>
      <c r="E1" s="7" t="s">
        <v>20</v>
      </c>
      <c r="F1" s="7" t="s">
        <v>21</v>
      </c>
    </row>
    <row r="2">
      <c r="A2" s="4">
        <v>76.8974</v>
      </c>
      <c r="B2" s="4">
        <v>11.0092</v>
      </c>
      <c r="C2" s="4">
        <v>4.00334</v>
      </c>
      <c r="D2" s="4">
        <v>2.41868</v>
      </c>
      <c r="E2" s="4">
        <v>2.08507</v>
      </c>
      <c r="F2" s="4">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22</v>
      </c>
      <c r="B1" s="7" t="s">
        <v>16</v>
      </c>
      <c r="C1" s="7" t="s">
        <v>17</v>
      </c>
      <c r="D1" s="7" t="s">
        <v>18</v>
      </c>
      <c r="E1" s="7" t="s">
        <v>19</v>
      </c>
      <c r="F1" s="7" t="s">
        <v>20</v>
      </c>
      <c r="G1" s="7" t="s">
        <v>21</v>
      </c>
    </row>
    <row r="2">
      <c r="A2" s="4" t="s">
        <v>23</v>
      </c>
      <c r="B2" s="8">
        <v>81.8182</v>
      </c>
      <c r="C2" s="8">
        <v>22.7273</v>
      </c>
      <c r="D2" s="8">
        <v>4.54545</v>
      </c>
      <c r="E2" s="8">
        <v>4.54545</v>
      </c>
      <c r="F2" s="8">
        <v>4.54545</v>
      </c>
      <c r="G2" s="8">
        <v>4.54545</v>
      </c>
    </row>
    <row r="3">
      <c r="A3" s="4" t="s">
        <v>24</v>
      </c>
      <c r="B3" s="8">
        <v>80.6452</v>
      </c>
      <c r="C3" s="8">
        <v>9.67742</v>
      </c>
      <c r="D3" s="8">
        <v>3.22581</v>
      </c>
      <c r="E3" s="8">
        <v>3.22581</v>
      </c>
      <c r="F3" s="8">
        <v>3.22581</v>
      </c>
      <c r="G3" s="8">
        <v>3.22581</v>
      </c>
    </row>
    <row r="4">
      <c r="A4" s="4" t="s">
        <v>25</v>
      </c>
      <c r="B4" s="8">
        <v>79.7521</v>
      </c>
      <c r="C4" s="8">
        <v>13.2231</v>
      </c>
      <c r="D4" s="8">
        <v>4.13223</v>
      </c>
      <c r="E4" s="8">
        <v>3.30579</v>
      </c>
      <c r="F4" s="8">
        <v>2.89256</v>
      </c>
      <c r="G4" s="8">
        <v>2.47934</v>
      </c>
    </row>
    <row r="5">
      <c r="A5" s="4" t="s">
        <v>26</v>
      </c>
      <c r="B5" s="8">
        <v>84.5455</v>
      </c>
      <c r="C5" s="8">
        <v>10.0</v>
      </c>
      <c r="D5" s="8">
        <v>2.72727</v>
      </c>
      <c r="E5" s="8">
        <v>2.72727</v>
      </c>
      <c r="F5" s="8">
        <v>1.81818</v>
      </c>
      <c r="G5" s="8">
        <v>1.81818</v>
      </c>
    </row>
    <row r="6">
      <c r="A6" s="4" t="s">
        <v>27</v>
      </c>
      <c r="B6" s="8">
        <v>75.0</v>
      </c>
      <c r="C6" s="8">
        <v>8.75</v>
      </c>
      <c r="D6" s="8">
        <v>4.375</v>
      </c>
      <c r="E6" s="8">
        <v>1.875</v>
      </c>
      <c r="F6" s="8">
        <v>1.875</v>
      </c>
      <c r="G6" s="8">
        <v>1.25</v>
      </c>
    </row>
    <row r="7">
      <c r="A7" s="4" t="s">
        <v>28</v>
      </c>
      <c r="B7" s="8">
        <v>78.3505</v>
      </c>
      <c r="C7" s="8">
        <v>17.5258</v>
      </c>
      <c r="D7" s="8">
        <v>8.24742</v>
      </c>
      <c r="E7" s="8">
        <v>3.09278</v>
      </c>
      <c r="F7" s="8">
        <v>2.06186</v>
      </c>
      <c r="G7" s="8">
        <v>1.03093</v>
      </c>
    </row>
    <row r="8">
      <c r="A8" s="4" t="s">
        <v>29</v>
      </c>
      <c r="B8" s="8">
        <v>72.6027</v>
      </c>
      <c r="C8" s="8">
        <v>8.90411</v>
      </c>
      <c r="D8" s="8">
        <v>2.39726</v>
      </c>
      <c r="E8" s="8">
        <v>1.36986</v>
      </c>
      <c r="F8" s="8">
        <v>1.36986</v>
      </c>
      <c r="G8" s="8">
        <v>0.684932</v>
      </c>
    </row>
    <row r="9">
      <c r="A9" s="4" t="s">
        <v>30</v>
      </c>
      <c r="B9" s="8">
        <v>74.5763</v>
      </c>
      <c r="C9" s="8">
        <v>10.1695</v>
      </c>
      <c r="D9" s="8">
        <v>5.08475</v>
      </c>
      <c r="E9" s="8">
        <v>1.69492</v>
      </c>
      <c r="F9" s="8">
        <v>1.69492</v>
      </c>
      <c r="G9" s="8">
        <v>0.0</v>
      </c>
    </row>
    <row r="10">
      <c r="A10" s="4" t="s">
        <v>31</v>
      </c>
      <c r="B10" s="8">
        <v>76.3636</v>
      </c>
      <c r="C10" s="8">
        <v>9.69697</v>
      </c>
      <c r="D10" s="8">
        <v>4.84848</v>
      </c>
      <c r="E10" s="8">
        <v>3.0303</v>
      </c>
      <c r="F10" s="8">
        <v>2.42424</v>
      </c>
      <c r="G10" s="8">
        <v>0.0</v>
      </c>
    </row>
    <row r="11">
      <c r="A11" s="4" t="s">
        <v>32</v>
      </c>
      <c r="B11" s="8">
        <v>71.4286</v>
      </c>
      <c r="C11" s="8">
        <v>9.52381</v>
      </c>
      <c r="D11" s="8">
        <v>0.0</v>
      </c>
      <c r="E11" s="8">
        <v>0.0</v>
      </c>
      <c r="F11" s="8">
        <v>0.0</v>
      </c>
      <c r="G11" s="8">
        <v>0.0</v>
      </c>
    </row>
    <row r="12">
      <c r="B12" s="9" t="s">
        <v>33</v>
      </c>
    </row>
    <row r="13">
      <c r="B13" s="10">
        <f t="shared" ref="B13:B22" si="1">((B2-C2)/B2)</f>
        <v>0.7222219506</v>
      </c>
      <c r="C13" s="10">
        <f>AVERAGE(B13:B22)</f>
        <v>0.8458465942</v>
      </c>
    </row>
    <row r="14">
      <c r="B14" s="10">
        <f t="shared" si="1"/>
        <v>0.8800000496</v>
      </c>
    </row>
    <row r="15">
      <c r="B15" s="10">
        <f t="shared" si="1"/>
        <v>0.8341974694</v>
      </c>
    </row>
    <row r="16">
      <c r="B16" s="10">
        <f t="shared" si="1"/>
        <v>0.8817204937</v>
      </c>
    </row>
    <row r="17">
      <c r="B17" s="10">
        <f t="shared" si="1"/>
        <v>0.8833333333</v>
      </c>
    </row>
    <row r="18">
      <c r="B18" s="10">
        <f t="shared" si="1"/>
        <v>0.7763154032</v>
      </c>
    </row>
    <row r="19">
      <c r="B19" s="10">
        <f t="shared" si="1"/>
        <v>0.8773584178</v>
      </c>
    </row>
    <row r="20">
      <c r="B20" s="10">
        <f t="shared" si="1"/>
        <v>0.8636363027</v>
      </c>
    </row>
    <row r="21">
      <c r="B21" s="10">
        <f t="shared" si="1"/>
        <v>0.8730158086</v>
      </c>
    </row>
    <row r="22">
      <c r="B22" s="10">
        <f t="shared" si="1"/>
        <v>0.8666667133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 customWidth="1" min="11" max="11" width="16.13"/>
  </cols>
  <sheetData>
    <row r="1">
      <c r="A1" s="4" t="s">
        <v>22</v>
      </c>
      <c r="B1" s="4" t="s">
        <v>34</v>
      </c>
      <c r="C1" s="4" t="s">
        <v>35</v>
      </c>
      <c r="D1" s="4" t="s">
        <v>36</v>
      </c>
      <c r="E1" s="4" t="s">
        <v>37</v>
      </c>
      <c r="G1" s="4" t="s">
        <v>38</v>
      </c>
      <c r="I1" s="4" t="s">
        <v>39</v>
      </c>
      <c r="K1" s="4" t="s">
        <v>40</v>
      </c>
    </row>
    <row r="2">
      <c r="A2" s="4" t="s">
        <v>27</v>
      </c>
      <c r="B2" s="4">
        <v>85.1</v>
      </c>
      <c r="C2" s="4">
        <v>52.3</v>
      </c>
      <c r="D2" s="4">
        <v>22.5</v>
      </c>
      <c r="E2" s="4">
        <v>1.8</v>
      </c>
      <c r="G2" s="11">
        <f t="shared" ref="G2:G11" si="1">(B2-C2)/B2</f>
        <v>0.3854289072</v>
      </c>
      <c r="H2" s="4">
        <f>AVERAGE(G2:G11)</f>
        <v>0.388803796</v>
      </c>
      <c r="I2" s="11">
        <f t="shared" ref="I2:I11" si="2">(C2-D2)/C2</f>
        <v>0.569789675</v>
      </c>
      <c r="J2" s="11">
        <f>AVERAGE(I2:I11)</f>
        <v>0.5626588701</v>
      </c>
      <c r="K2" s="11">
        <f t="shared" ref="K2:K11" si="3">(D2-E2)/D2</f>
        <v>0.92</v>
      </c>
      <c r="L2" s="12">
        <f>AVERAGE(K2:K11)</f>
        <v>0.8950630959</v>
      </c>
    </row>
    <row r="3">
      <c r="A3" s="4" t="s">
        <v>24</v>
      </c>
      <c r="B3" s="4">
        <v>80.8</v>
      </c>
      <c r="C3" s="4">
        <v>46.8</v>
      </c>
      <c r="D3" s="4">
        <v>19.2</v>
      </c>
      <c r="E3" s="4">
        <v>2.5</v>
      </c>
      <c r="G3" s="11">
        <f t="shared" si="1"/>
        <v>0.4207920792</v>
      </c>
      <c r="H3" s="13"/>
      <c r="I3" s="11">
        <f t="shared" si="2"/>
        <v>0.5897435897</v>
      </c>
      <c r="K3" s="11">
        <f t="shared" si="3"/>
        <v>0.8697916667</v>
      </c>
    </row>
    <row r="4">
      <c r="A4" s="4" t="s">
        <v>29</v>
      </c>
      <c r="B4" s="4">
        <v>87.2</v>
      </c>
      <c r="C4" s="4">
        <v>54.4</v>
      </c>
      <c r="D4" s="4">
        <v>24.4</v>
      </c>
      <c r="E4" s="4">
        <v>2.5</v>
      </c>
      <c r="G4" s="11">
        <f t="shared" si="1"/>
        <v>0.376146789</v>
      </c>
      <c r="H4" s="13"/>
      <c r="I4" s="11">
        <f t="shared" si="2"/>
        <v>0.5514705882</v>
      </c>
      <c r="K4" s="11">
        <f t="shared" si="3"/>
        <v>0.8975409836</v>
      </c>
    </row>
    <row r="5">
      <c r="A5" s="4" t="s">
        <v>28</v>
      </c>
      <c r="B5" s="4">
        <v>83.7</v>
      </c>
      <c r="C5" s="4">
        <v>51.8</v>
      </c>
      <c r="D5" s="4">
        <v>22.1</v>
      </c>
      <c r="E5" s="4">
        <v>1.7</v>
      </c>
      <c r="G5" s="11">
        <f t="shared" si="1"/>
        <v>0.3811230585</v>
      </c>
      <c r="H5" s="13"/>
      <c r="I5" s="11">
        <f t="shared" si="2"/>
        <v>0.5733590734</v>
      </c>
      <c r="K5" s="11">
        <f t="shared" si="3"/>
        <v>0.9230769231</v>
      </c>
    </row>
    <row r="6">
      <c r="A6" s="4" t="s">
        <v>31</v>
      </c>
      <c r="B6" s="4">
        <v>84.5</v>
      </c>
      <c r="C6" s="4">
        <v>52.0</v>
      </c>
      <c r="D6" s="4">
        <v>21.8</v>
      </c>
      <c r="E6" s="4">
        <v>1.6</v>
      </c>
      <c r="G6" s="11">
        <f t="shared" si="1"/>
        <v>0.3846153846</v>
      </c>
      <c r="H6" s="13"/>
      <c r="I6" s="11">
        <f t="shared" si="2"/>
        <v>0.5807692308</v>
      </c>
      <c r="K6" s="11">
        <f t="shared" si="3"/>
        <v>0.9266055046</v>
      </c>
    </row>
    <row r="7">
      <c r="A7" s="4" t="s">
        <v>30</v>
      </c>
      <c r="B7" s="4">
        <v>79.1</v>
      </c>
      <c r="C7" s="4">
        <v>50.0</v>
      </c>
      <c r="D7" s="4">
        <v>20.6</v>
      </c>
      <c r="E7" s="4">
        <v>2.5</v>
      </c>
      <c r="G7" s="11">
        <f t="shared" si="1"/>
        <v>0.3678887484</v>
      </c>
      <c r="H7" s="13"/>
      <c r="I7" s="11">
        <f t="shared" si="2"/>
        <v>0.588</v>
      </c>
      <c r="K7" s="11">
        <f t="shared" si="3"/>
        <v>0.8786407767</v>
      </c>
    </row>
    <row r="8">
      <c r="A8" s="4" t="s">
        <v>25</v>
      </c>
      <c r="B8" s="4">
        <v>86.1</v>
      </c>
      <c r="C8" s="4">
        <v>55.8</v>
      </c>
      <c r="D8" s="4">
        <v>25.5</v>
      </c>
      <c r="E8" s="4">
        <v>3.1</v>
      </c>
      <c r="G8" s="11">
        <f t="shared" si="1"/>
        <v>0.3519163763</v>
      </c>
      <c r="H8" s="13"/>
      <c r="I8" s="11">
        <f t="shared" si="2"/>
        <v>0.5430107527</v>
      </c>
      <c r="K8" s="11">
        <f t="shared" si="3"/>
        <v>0.8784313725</v>
      </c>
    </row>
    <row r="9">
      <c r="A9" s="4" t="s">
        <v>32</v>
      </c>
      <c r="B9" s="4">
        <v>80.9</v>
      </c>
      <c r="C9" s="4">
        <v>49.1</v>
      </c>
      <c r="D9" s="4">
        <v>22.1</v>
      </c>
      <c r="E9" s="4">
        <v>2.1</v>
      </c>
      <c r="G9" s="11">
        <f t="shared" si="1"/>
        <v>0.3930778739</v>
      </c>
      <c r="H9" s="13"/>
      <c r="I9" s="11">
        <f t="shared" si="2"/>
        <v>0.549898167</v>
      </c>
      <c r="K9" s="11">
        <f t="shared" si="3"/>
        <v>0.9049773756</v>
      </c>
    </row>
    <row r="10">
      <c r="A10" s="4" t="s">
        <v>26</v>
      </c>
      <c r="B10" s="4">
        <v>84.3</v>
      </c>
      <c r="C10" s="4">
        <v>51.1</v>
      </c>
      <c r="D10" s="4">
        <v>22.9</v>
      </c>
      <c r="E10" s="4">
        <v>3.2</v>
      </c>
      <c r="G10" s="11">
        <f t="shared" si="1"/>
        <v>0.393831554</v>
      </c>
      <c r="H10" s="13"/>
      <c r="I10" s="11">
        <f t="shared" si="2"/>
        <v>0.5518590998</v>
      </c>
      <c r="K10" s="11">
        <f t="shared" si="3"/>
        <v>0.8602620087</v>
      </c>
    </row>
    <row r="11">
      <c r="A11" s="4" t="s">
        <v>23</v>
      </c>
      <c r="B11" s="4">
        <v>86.1</v>
      </c>
      <c r="C11" s="4">
        <v>48.8</v>
      </c>
      <c r="D11" s="4">
        <v>23.0</v>
      </c>
      <c r="E11" s="4">
        <v>2.5</v>
      </c>
      <c r="G11" s="11">
        <f t="shared" si="1"/>
        <v>0.4332171893</v>
      </c>
      <c r="H11" s="13"/>
      <c r="I11" s="11">
        <f t="shared" si="2"/>
        <v>0.5286885246</v>
      </c>
      <c r="K11" s="11">
        <f t="shared" si="3"/>
        <v>0.8913043478</v>
      </c>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4" t="s">
        <v>41</v>
      </c>
      <c r="B1" s="4" t="s">
        <v>34</v>
      </c>
      <c r="C1" s="4" t="s">
        <v>35</v>
      </c>
      <c r="D1" s="4" t="s">
        <v>36</v>
      </c>
      <c r="E1" s="4" t="s">
        <v>37</v>
      </c>
    </row>
    <row r="2">
      <c r="A2" s="14">
        <v>45658.0</v>
      </c>
      <c r="B2" s="4">
        <v>86.2</v>
      </c>
      <c r="C2" s="4">
        <v>56.2</v>
      </c>
      <c r="D2" s="4">
        <v>24.1</v>
      </c>
      <c r="E2" s="4">
        <v>3.0</v>
      </c>
    </row>
    <row r="3">
      <c r="A3" s="14">
        <v>45689.0</v>
      </c>
      <c r="B3" s="4">
        <v>86.8</v>
      </c>
      <c r="C3" s="4">
        <v>56.0</v>
      </c>
      <c r="D3" s="4">
        <v>24.6</v>
      </c>
      <c r="E3" s="4">
        <v>2.7</v>
      </c>
    </row>
    <row r="4">
      <c r="A4" s="14">
        <v>45717.0</v>
      </c>
      <c r="B4" s="4">
        <v>87.7</v>
      </c>
      <c r="C4" s="4">
        <v>56.8</v>
      </c>
      <c r="D4" s="4">
        <v>26.6</v>
      </c>
      <c r="E4" s="4">
        <v>3.0</v>
      </c>
    </row>
    <row r="5">
      <c r="A5" s="14">
        <v>45748.0</v>
      </c>
      <c r="B5" s="4">
        <v>87.2</v>
      </c>
      <c r="C5" s="4">
        <v>53.9</v>
      </c>
      <c r="D5" s="4">
        <v>23.0</v>
      </c>
      <c r="E5" s="4">
        <v>2.0</v>
      </c>
    </row>
    <row r="6">
      <c r="A6" s="14">
        <v>45778.0</v>
      </c>
      <c r="B6" s="4">
        <v>86.0</v>
      </c>
      <c r="C6" s="4">
        <v>54.5</v>
      </c>
      <c r="D6" s="4">
        <v>26.2</v>
      </c>
      <c r="E6" s="4">
        <v>3.0</v>
      </c>
    </row>
    <row r="7">
      <c r="A7" s="14">
        <v>45809.0</v>
      </c>
      <c r="B7" s="4">
        <v>85.9</v>
      </c>
      <c r="C7" s="4">
        <v>55.1</v>
      </c>
      <c r="D7" s="4">
        <v>25.2</v>
      </c>
      <c r="E7" s="4">
        <v>2.1</v>
      </c>
    </row>
    <row r="8">
      <c r="A8" s="14">
        <v>45839.0</v>
      </c>
      <c r="B8" s="4">
        <v>86.4</v>
      </c>
      <c r="C8" s="4">
        <v>56.4</v>
      </c>
      <c r="D8" s="4">
        <v>25.9</v>
      </c>
      <c r="E8" s="4">
        <v>2.7</v>
      </c>
    </row>
    <row r="9">
      <c r="A9" s="14">
        <v>45870.0</v>
      </c>
      <c r="B9" s="4">
        <v>70.8</v>
      </c>
      <c r="C9" s="4">
        <v>29.7</v>
      </c>
      <c r="D9" s="4">
        <v>7.5</v>
      </c>
      <c r="E9" s="4">
        <v>0.2</v>
      </c>
    </row>
  </sheetData>
  <drawing r:id="rId1"/>
</worksheet>
</file>